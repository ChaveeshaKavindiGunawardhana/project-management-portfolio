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13_ncr:41000001_{251A1F98-312E-254F-9017-A6A09B3845C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Budget Tracker" sheetId="1" r:id="rId1"/>
    <sheet name="Risk Register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2" l="1"/>
  <c r="F6" i="2"/>
  <c r="F5" i="2"/>
  <c r="D19" i="1"/>
  <c r="B21" i="1"/>
  <c r="C19" i="1"/>
  <c r="E19" i="1"/>
  <c r="F7" i="1"/>
  <c r="E7" i="1"/>
  <c r="F6" i="1"/>
  <c r="E6" i="1"/>
  <c r="F5" i="1"/>
  <c r="E5" i="1"/>
</calcChain>
</file>

<file path=xl/sharedStrings.xml><?xml version="1.0" encoding="utf-8"?>
<sst xmlns="http://schemas.openxmlformats.org/spreadsheetml/2006/main" count="50" uniqueCount="47">
  <si>
    <t>PROJECT BUDGET TRACKER</t>
  </si>
  <si>
    <t>Project Name:</t>
  </si>
  <si>
    <t>[Enter Project Name]</t>
  </si>
  <si>
    <t>Total Approved Budget:</t>
  </si>
  <si>
    <t>Category</t>
  </si>
  <si>
    <t>Item Description</t>
  </si>
  <si>
    <t>Budgeted Cost</t>
  </si>
  <si>
    <t>Actual Cost</t>
  </si>
  <si>
    <t>Variance</t>
  </si>
  <si>
    <t>% Used</t>
  </si>
  <si>
    <t>Notes</t>
  </si>
  <si>
    <t>Labour</t>
  </si>
  <si>
    <t>Project Team Salaries</t>
  </si>
  <si>
    <t>Materials</t>
  </si>
  <si>
    <t>Equipment &amp; Supplies</t>
  </si>
  <si>
    <t>Slight overrun - see notes</t>
  </si>
  <si>
    <t>Software</t>
  </si>
  <si>
    <t>MS Project Licenses</t>
  </si>
  <si>
    <t>TOTALS</t>
  </si>
  <si>
    <t>Budget Remaining:</t>
  </si>
  <si>
    <t>PROJECT RISK REGISTER</t>
  </si>
  <si>
    <t>Risk ID</t>
  </si>
  <si>
    <t>Risk Description</t>
  </si>
  <si>
    <t>Likelihood (1-5)</t>
  </si>
  <si>
    <t>Impact (1-5)</t>
  </si>
  <si>
    <t>Risk Score</t>
  </si>
  <si>
    <t>Mitigation Plan</t>
  </si>
  <si>
    <t>Owner</t>
  </si>
  <si>
    <t>Status</t>
  </si>
  <si>
    <t>R01</t>
  </si>
  <si>
    <t>Key supplier delivery delay</t>
  </si>
  <si>
    <t>Procurement</t>
  </si>
  <si>
    <t>Identify backup suppliers</t>
  </si>
  <si>
    <t>Project Manager</t>
  </si>
  <si>
    <t>Open</t>
  </si>
  <si>
    <t>R02</t>
  </si>
  <si>
    <t>Scope creep from client requests</t>
  </si>
  <si>
    <t>Scope</t>
  </si>
  <si>
    <t>Formal change control process</t>
  </si>
  <si>
    <t>Business Analyst</t>
  </si>
  <si>
    <t>R03</t>
  </si>
  <si>
    <t>Team member unavailability</t>
  </si>
  <si>
    <t>Resource</t>
  </si>
  <si>
    <t>Cross-train team members</t>
  </si>
  <si>
    <t>HR/Team Lead</t>
  </si>
  <si>
    <t>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</si>
</sst>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i/>
      <sz val="9"/>
      <color rgb="FF666666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548235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548235"/>
      </patternFill>
    </fill>
    <fill>
      <patternFill patternType="solid">
        <fgColor rgb="FFE2EFDA"/>
        <bgColor rgb="FFFFFF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3" borderId="0" xfId="0" applyFont="1" applyFill="1"/>
    <xf numFmtId="4" fontId="3" fillId="3" borderId="0" xfId="0" applyNumberFormat="1" applyFont="1" applyFill="1"/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9" fontId="3" fillId="0" borderId="1" xfId="0" applyNumberFormat="1" applyFont="1" applyBorder="1"/>
    <xf numFmtId="0" fontId="3" fillId="5" borderId="1" xfId="0" applyFont="1" applyFill="1" applyBorder="1"/>
    <xf numFmtId="4" fontId="3" fillId="5" borderId="1" xfId="0" applyNumberFormat="1" applyFont="1" applyFill="1" applyBorder="1"/>
    <xf numFmtId="164" fontId="3" fillId="5" borderId="1" xfId="0" applyNumberFormat="1" applyFont="1" applyFill="1" applyBorder="1"/>
    <xf numFmtId="9" fontId="3" fillId="5" borderId="1" xfId="0" applyNumberFormat="1" applyFont="1" applyFill="1" applyBorder="1"/>
    <xf numFmtId="0" fontId="0" fillId="5" borderId="1" xfId="0" applyFill="1" applyBorder="1"/>
    <xf numFmtId="0" fontId="0" fillId="0" borderId="1" xfId="0" applyBorder="1"/>
    <xf numFmtId="0" fontId="5" fillId="0" borderId="0" xfId="0" applyFont="1"/>
    <xf numFmtId="4" fontId="3" fillId="0" borderId="0" xfId="0" applyNumberFormat="1" applyFont="1"/>
    <xf numFmtId="164" fontId="3" fillId="0" borderId="0" xfId="0" applyNumberFormat="1" applyFont="1"/>
    <xf numFmtId="0" fontId="6" fillId="0" borderId="0" xfId="0" applyFont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Normal="100" workbookViewId="0">
      <selection activeCell="A23" sqref="A23:E23"/>
    </sheetView>
  </sheetViews>
  <sheetFormatPr defaultColWidth="8.7421875" defaultRowHeight="15" x14ac:dyDescent="0.2"/>
  <cols>
    <col min="1" max="1" width="16.0078125" customWidth="1"/>
    <col min="2" max="2" width="27.98046875" customWidth="1"/>
    <col min="3" max="4" width="14.9296875" customWidth="1"/>
    <col min="5" max="5" width="13.98828125" customWidth="1"/>
    <col min="6" max="6" width="9.953125" customWidth="1"/>
    <col min="7" max="7" width="27.98046875" customWidth="1"/>
  </cols>
  <sheetData>
    <row r="1" spans="1:7" ht="27.75" customHeight="1" x14ac:dyDescent="0.2">
      <c r="A1" s="19" t="s">
        <v>0</v>
      </c>
      <c r="B1" s="19"/>
      <c r="C1" s="19"/>
      <c r="D1" s="19"/>
      <c r="E1" s="19"/>
      <c r="F1" s="19"/>
      <c r="G1" s="19"/>
    </row>
    <row r="2" spans="1:7" x14ac:dyDescent="0.2">
      <c r="A2" s="1" t="s">
        <v>1</v>
      </c>
      <c r="B2" s="2" t="s">
        <v>2</v>
      </c>
      <c r="D2" s="1" t="s">
        <v>3</v>
      </c>
      <c r="E2" s="3">
        <v>500000</v>
      </c>
    </row>
    <row r="4" spans="1:7" ht="27.75" customHeight="1" x14ac:dyDescent="0.2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</row>
    <row r="5" spans="1:7" x14ac:dyDescent="0.2">
      <c r="A5" s="5" t="s">
        <v>11</v>
      </c>
      <c r="B5" s="5" t="s">
        <v>12</v>
      </c>
      <c r="C5" s="6">
        <v>150000</v>
      </c>
      <c r="D5" s="6">
        <v>142000</v>
      </c>
      <c r="E5" s="7">
        <f>C5-D5</f>
        <v>8000</v>
      </c>
      <c r="F5" s="8">
        <f>IFERROR(D5/C5,0)</f>
        <v>0.94666666666666666</v>
      </c>
      <c r="G5" s="5"/>
    </row>
    <row r="6" spans="1:7" x14ac:dyDescent="0.2">
      <c r="A6" s="9" t="s">
        <v>13</v>
      </c>
      <c r="B6" s="9" t="s">
        <v>14</v>
      </c>
      <c r="C6" s="10">
        <v>80000</v>
      </c>
      <c r="D6" s="10">
        <v>85000</v>
      </c>
      <c r="E6" s="11">
        <f>C6-D6</f>
        <v>-5000</v>
      </c>
      <c r="F6" s="12">
        <f>IFERROR(D6/C6,0)</f>
        <v>1.0625</v>
      </c>
      <c r="G6" s="9" t="s">
        <v>15</v>
      </c>
    </row>
    <row r="7" spans="1:7" x14ac:dyDescent="0.2">
      <c r="A7" s="5" t="s">
        <v>16</v>
      </c>
      <c r="B7" s="5" t="s">
        <v>17</v>
      </c>
      <c r="C7" s="6">
        <v>20000</v>
      </c>
      <c r="D7" s="6">
        <v>18000</v>
      </c>
      <c r="E7" s="7">
        <f>C7-D7</f>
        <v>2000</v>
      </c>
      <c r="F7" s="8">
        <f>IFERROR(D7/C7,0)</f>
        <v>0.9</v>
      </c>
      <c r="G7" s="5"/>
    </row>
    <row r="8" spans="1:7" x14ac:dyDescent="0.2">
      <c r="A8" s="13"/>
      <c r="B8" s="13"/>
      <c r="C8" s="13"/>
      <c r="D8" s="13"/>
      <c r="E8" s="13"/>
      <c r="F8" s="13"/>
      <c r="G8" s="13"/>
    </row>
    <row r="9" spans="1:7" x14ac:dyDescent="0.2">
      <c r="A9" s="14"/>
      <c r="B9" s="14"/>
      <c r="C9" s="14"/>
      <c r="D9" s="14"/>
      <c r="E9" s="14"/>
      <c r="F9" s="14"/>
      <c r="G9" s="14"/>
    </row>
    <row r="10" spans="1:7" x14ac:dyDescent="0.2">
      <c r="A10" s="13"/>
      <c r="B10" s="13"/>
      <c r="C10" s="13"/>
      <c r="D10" s="13"/>
      <c r="E10" s="13"/>
      <c r="F10" s="13"/>
      <c r="G10" s="13"/>
    </row>
    <row r="11" spans="1:7" x14ac:dyDescent="0.2">
      <c r="A11" s="14"/>
      <c r="B11" s="14"/>
      <c r="C11" s="14"/>
      <c r="D11" s="14"/>
      <c r="E11" s="14"/>
      <c r="F11" s="14"/>
      <c r="G11" s="14"/>
    </row>
    <row r="12" spans="1:7" x14ac:dyDescent="0.2">
      <c r="A12" s="13"/>
      <c r="B12" s="13"/>
      <c r="C12" s="13"/>
      <c r="D12" s="13"/>
      <c r="E12" s="13"/>
      <c r="F12" s="13"/>
      <c r="G12" s="13"/>
    </row>
    <row r="13" spans="1:7" x14ac:dyDescent="0.2">
      <c r="A13" s="14"/>
      <c r="B13" s="14"/>
      <c r="C13" s="14"/>
      <c r="D13" s="14"/>
      <c r="E13" s="14"/>
      <c r="F13" s="14"/>
      <c r="G13" s="14"/>
    </row>
    <row r="14" spans="1:7" x14ac:dyDescent="0.2">
      <c r="A14" s="13"/>
      <c r="B14" s="13"/>
      <c r="C14" s="13"/>
      <c r="D14" s="13"/>
      <c r="E14" s="13"/>
      <c r="F14" s="13"/>
      <c r="G14" s="13"/>
    </row>
    <row r="15" spans="1:7" x14ac:dyDescent="0.2">
      <c r="A15" s="14"/>
      <c r="B15" s="14"/>
      <c r="C15" s="14"/>
      <c r="D15" s="14"/>
      <c r="E15" s="14"/>
      <c r="F15" s="14"/>
      <c r="G15" s="14"/>
    </row>
    <row r="16" spans="1:7" x14ac:dyDescent="0.2">
      <c r="A16" s="13"/>
      <c r="B16" s="13"/>
      <c r="C16" s="13"/>
      <c r="D16" s="13"/>
      <c r="E16" s="13"/>
      <c r="F16" s="13"/>
      <c r="G16" s="13"/>
    </row>
    <row r="17" spans="1:7" x14ac:dyDescent="0.2">
      <c r="A17" s="14"/>
      <c r="B17" s="14"/>
      <c r="C17" s="14"/>
      <c r="D17" s="14"/>
      <c r="E17" s="14"/>
      <c r="F17" s="14"/>
      <c r="G17" s="14"/>
    </row>
    <row r="19" spans="1:7" x14ac:dyDescent="0.2">
      <c r="A19" s="15" t="s">
        <v>18</v>
      </c>
      <c r="C19" s="16">
        <f>SUM(C5:C17)</f>
        <v>250000</v>
      </c>
      <c r="D19" s="16">
        <f>SUM(D5:D17)</f>
        <v>245000</v>
      </c>
      <c r="E19" s="17">
        <f>C19-D19</f>
        <v>5000</v>
      </c>
    </row>
    <row r="21" spans="1:7" x14ac:dyDescent="0.2">
      <c r="A21" s="1" t="s">
        <v>19</v>
      </c>
      <c r="B21" s="16">
        <f>E2-D19</f>
        <v>255000</v>
      </c>
    </row>
    <row r="23" spans="1:7" x14ac:dyDescent="0.2">
      <c r="A23" s="18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zoomScaleNormal="100" workbookViewId="0">
      <selection activeCell="A20" sqref="A20:E20"/>
    </sheetView>
  </sheetViews>
  <sheetFormatPr defaultColWidth="8.7421875" defaultRowHeight="15" x14ac:dyDescent="0.2"/>
  <cols>
    <col min="1" max="1" width="19.37109375" customWidth="1"/>
    <col min="2" max="2" width="32.015625" customWidth="1"/>
    <col min="3" max="4" width="13.98828125" customWidth="1"/>
    <col min="5" max="6" width="11.97265625" customWidth="1"/>
    <col min="7" max="7" width="29.99609375" customWidth="1"/>
    <col min="8" max="8" width="16.0078125" customWidth="1"/>
    <col min="9" max="9" width="11.97265625" customWidth="1"/>
  </cols>
  <sheetData>
    <row r="1" spans="1:9" ht="27.75" customHeight="1" x14ac:dyDescent="0.2">
      <c r="A1" s="19" t="s">
        <v>20</v>
      </c>
      <c r="B1" s="19"/>
      <c r="C1" s="19"/>
      <c r="D1" s="19"/>
      <c r="E1" s="19"/>
      <c r="F1" s="19"/>
      <c r="G1" s="19"/>
      <c r="H1" s="19"/>
      <c r="I1" s="19"/>
    </row>
    <row r="2" spans="1:9" x14ac:dyDescent="0.2">
      <c r="A2" s="1" t="s">
        <v>1</v>
      </c>
      <c r="B2" s="2" t="s">
        <v>2</v>
      </c>
    </row>
    <row r="4" spans="1:9" ht="30" customHeight="1" x14ac:dyDescent="0.2">
      <c r="A4" s="4" t="s">
        <v>21</v>
      </c>
      <c r="B4" s="4" t="s">
        <v>22</v>
      </c>
      <c r="C4" s="4" t="s">
        <v>4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</row>
    <row r="5" spans="1:9" x14ac:dyDescent="0.2">
      <c r="A5" s="5" t="s">
        <v>29</v>
      </c>
      <c r="B5" s="5" t="s">
        <v>30</v>
      </c>
      <c r="C5" s="5" t="s">
        <v>31</v>
      </c>
      <c r="D5" s="5">
        <v>3</v>
      </c>
      <c r="E5" s="5">
        <v>4</v>
      </c>
      <c r="F5" s="5">
        <f>D5*E5</f>
        <v>12</v>
      </c>
      <c r="G5" s="5" t="s">
        <v>32</v>
      </c>
      <c r="H5" s="5" t="s">
        <v>33</v>
      </c>
      <c r="I5" s="5" t="s">
        <v>34</v>
      </c>
    </row>
    <row r="6" spans="1:9" x14ac:dyDescent="0.2">
      <c r="A6" s="9" t="s">
        <v>35</v>
      </c>
      <c r="B6" s="9" t="s">
        <v>36</v>
      </c>
      <c r="C6" s="9" t="s">
        <v>37</v>
      </c>
      <c r="D6" s="9">
        <v>4</v>
      </c>
      <c r="E6" s="9">
        <v>3</v>
      </c>
      <c r="F6" s="9">
        <f>D6*E6</f>
        <v>12</v>
      </c>
      <c r="G6" s="9" t="s">
        <v>38</v>
      </c>
      <c r="H6" s="9" t="s">
        <v>39</v>
      </c>
      <c r="I6" s="9" t="s">
        <v>34</v>
      </c>
    </row>
    <row r="7" spans="1:9" x14ac:dyDescent="0.2">
      <c r="A7" s="5" t="s">
        <v>40</v>
      </c>
      <c r="B7" s="5" t="s">
        <v>41</v>
      </c>
      <c r="C7" s="5" t="s">
        <v>42</v>
      </c>
      <c r="D7" s="5">
        <v>2</v>
      </c>
      <c r="E7" s="5">
        <v>3</v>
      </c>
      <c r="F7" s="5">
        <f>D7*E7</f>
        <v>6</v>
      </c>
      <c r="G7" s="5" t="s">
        <v>43</v>
      </c>
      <c r="H7" s="5" t="s">
        <v>44</v>
      </c>
      <c r="I7" s="5" t="s">
        <v>45</v>
      </c>
    </row>
    <row r="8" spans="1:9" x14ac:dyDescent="0.2">
      <c r="A8" s="13"/>
      <c r="B8" s="13"/>
      <c r="C8" s="13"/>
      <c r="D8" s="13"/>
      <c r="E8" s="13"/>
      <c r="F8" s="13"/>
      <c r="G8" s="13"/>
      <c r="H8" s="13"/>
      <c r="I8" s="13"/>
    </row>
    <row r="9" spans="1:9" x14ac:dyDescent="0.2">
      <c r="A9" s="14"/>
      <c r="B9" s="14"/>
      <c r="C9" s="14"/>
      <c r="D9" s="14"/>
      <c r="E9" s="14"/>
      <c r="F9" s="14"/>
      <c r="G9" s="14"/>
      <c r="H9" s="14"/>
      <c r="I9" s="14"/>
    </row>
    <row r="10" spans="1:9" x14ac:dyDescent="0.2">
      <c r="A10" s="13"/>
      <c r="B10" s="13"/>
      <c r="C10" s="13"/>
      <c r="D10" s="13"/>
      <c r="E10" s="13"/>
      <c r="F10" s="13"/>
      <c r="G10" s="13"/>
      <c r="H10" s="13"/>
      <c r="I10" s="13"/>
    </row>
    <row r="11" spans="1:9" x14ac:dyDescent="0.2">
      <c r="A11" s="14"/>
      <c r="B11" s="14"/>
      <c r="C11" s="14"/>
      <c r="D11" s="14"/>
      <c r="E11" s="14"/>
      <c r="F11" s="14"/>
      <c r="G11" s="14"/>
      <c r="H11" s="14"/>
      <c r="I11" s="14"/>
    </row>
    <row r="12" spans="1:9" x14ac:dyDescent="0.2">
      <c r="A12" s="13"/>
      <c r="B12" s="13"/>
      <c r="C12" s="13"/>
      <c r="D12" s="13"/>
      <c r="E12" s="13"/>
      <c r="F12" s="13"/>
      <c r="G12" s="13"/>
      <c r="H12" s="13"/>
      <c r="I12" s="13"/>
    </row>
    <row r="13" spans="1:9" x14ac:dyDescent="0.2">
      <c r="A13" s="14"/>
      <c r="B13" s="14"/>
      <c r="C13" s="14"/>
      <c r="D13" s="14"/>
      <c r="E13" s="14"/>
      <c r="F13" s="14"/>
      <c r="G13" s="14"/>
      <c r="H13" s="14"/>
      <c r="I13" s="14"/>
    </row>
    <row r="14" spans="1:9" x14ac:dyDescent="0.2">
      <c r="A14" s="13"/>
      <c r="B14" s="13"/>
      <c r="C14" s="13"/>
      <c r="D14" s="13"/>
      <c r="E14" s="13"/>
      <c r="F14" s="13"/>
      <c r="G14" s="13"/>
      <c r="H14" s="13"/>
      <c r="I14" s="13"/>
    </row>
    <row r="15" spans="1:9" x14ac:dyDescent="0.2">
      <c r="A15" s="14"/>
      <c r="B15" s="14"/>
      <c r="C15" s="14"/>
      <c r="D15" s="14"/>
      <c r="E15" s="14"/>
      <c r="F15" s="14"/>
      <c r="G15" s="14"/>
      <c r="H15" s="14"/>
      <c r="I15" s="14"/>
    </row>
    <row r="16" spans="1:9" x14ac:dyDescent="0.2">
      <c r="A16" s="13"/>
      <c r="B16" s="13"/>
      <c r="C16" s="13"/>
      <c r="D16" s="13"/>
      <c r="E16" s="13"/>
      <c r="F16" s="13"/>
      <c r="G16" s="13"/>
      <c r="H16" s="13"/>
      <c r="I16" s="13"/>
    </row>
    <row r="17" spans="1:9" x14ac:dyDescent="0.2">
      <c r="A17" s="14"/>
      <c r="B17" s="14"/>
      <c r="C17" s="14"/>
      <c r="D17" s="14"/>
      <c r="E17" s="14"/>
      <c r="F17" s="14"/>
      <c r="G17" s="14"/>
      <c r="H17" s="14"/>
      <c r="I17" s="14"/>
    </row>
    <row r="19" spans="1:9" x14ac:dyDescent="0.2">
      <c r="A19" s="18"/>
    </row>
    <row r="20" spans="1:9" x14ac:dyDescent="0.2">
      <c r="A20" s="18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Tracker</vt:lpstr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2026-09-12T09:14:31Z</dcterms:created>
  <dcterms:modified xsi:type="dcterms:W3CDTF">2026-09-12T09:14:31Z</dcterms:modified>
  <dc:language>en-US</dc:language>
</cp:coreProperties>
</file>